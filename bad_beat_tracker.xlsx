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12749.3</v>
      </c>
      <c r="E1" s="23" t="inlineStr">
        <is>
          <t>As of:</t>
        </is>
      </c>
      <c r="F1" s="25" t="inlineStr">
        <is>
          <t>2026-02-17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inlineStr">
        <is>
          <t>—</t>
        </is>
      </c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>
        <f>IF(OR(B5="",B4=""),"",B5-B4)</f>
        <v/>
      </c>
      <c r="D5" s="29">
        <f>IF(OR(B5="",B4=""),"",IF(C5&lt;0,0,IF(B5&lt;150000,C5/0.8,C5/0.6)))</f>
        <v/>
      </c>
      <c r="E5" s="29">
        <f>IF(D5="","",IF(B5&lt;150000,D5*0.1,D5*0.3))</f>
        <v/>
      </c>
    </row>
    <row r="6" ht="15" customHeight="1" s="22">
      <c r="A6" s="28" t="inlineStr">
        <is>
          <t>2026-02-16</t>
        </is>
      </c>
      <c r="B6" s="29" t="n">
        <v>129841.1</v>
      </c>
      <c r="C6" s="31">
        <f>IF(OR(B6="",B5=""),"",B6-B5)</f>
        <v/>
      </c>
      <c r="D6" s="29">
        <f>IF(OR(B6="",B5=""),"",IF(C6&lt;0,0,IF(B6&lt;150000,C6/0.8,C6/0.6)))</f>
        <v/>
      </c>
      <c r="E6" s="29">
        <f>IF(D6="","",IF(B6&lt;150000,D6*0.1,D6*0.3))</f>
        <v/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n"/>
      <c r="B8" s="29" t="n"/>
      <c r="C8" s="31">
        <f>IF(OR(B8="",B7=""),"",B8-B7)</f>
        <v/>
      </c>
      <c r="D8" s="29">
        <f>IF(OR(B8="",B7=""),"",IF(C8&lt;0,0,IF(B8&lt;150000,C8/0.8,C8/0.6)))</f>
        <v/>
      </c>
      <c r="E8" s="29">
        <f>IF(D8="","",IF(B8&lt;150000,D8*0.1,D8*0.3))</f>
        <v/>
      </c>
      <c r="G8" s="32" t="inlineStr">
        <is>
          <t>Since Feb 15, 2026</t>
        </is>
      </c>
    </row>
    <row r="9" ht="15" customHeight="1" s="22">
      <c r="A9" s="28" t="n"/>
      <c r="B9" s="29" t="n"/>
      <c r="C9" s="31">
        <f>IF(OR(B9="",B8=""),"",B9-B8)</f>
        <v/>
      </c>
      <c r="D9" s="29">
        <f>IF(OR(B9="",B8=""),"",IF(C9&lt;0,0,IF(B9&lt;150000,C9/0.8,C9/0.6)))</f>
        <v/>
      </c>
      <c r="E9" s="29">
        <f>IF(D9="","",IF(B9&lt;150000,D9*0.1,D9*0.3))</f>
        <v/>
      </c>
    </row>
    <row r="10" ht="15" customHeight="1" s="22">
      <c r="A10" s="28" t="n"/>
      <c r="B10" s="29" t="n"/>
      <c r="C10" s="31">
        <f>IF(OR(B10="",B9=""),"",B10-B9)</f>
        <v/>
      </c>
      <c r="D10" s="29">
        <f>IF(OR(B10="",B9=""),"",IF(C10&lt;0,0,IF(B10&lt;150000,C10/0.8,C10/0.6)))</f>
        <v/>
      </c>
      <c r="E10" s="29">
        <f>IF(D10="","",IF(B10&lt;150000,D10*0.1,D10*0.3))</f>
        <v/>
      </c>
      <c r="F10" s="33" t="n"/>
      <c r="G10" s="34" t="inlineStr">
        <is>
          <t>Total Collected:</t>
        </is>
      </c>
      <c r="H10" s="35">
        <f>SUM(D5:D3500)</f>
        <v/>
      </c>
    </row>
    <row r="11" ht="15" customHeight="1" s="22">
      <c r="A11" s="28" t="n"/>
      <c r="B11" s="29" t="n"/>
      <c r="C11" s="31">
        <f>IF(OR(B11="",B10=""),"",B11-B10)</f>
        <v/>
      </c>
      <c r="D11" s="29">
        <f>IF(OR(B11="",B10=""),"",IF(C11&lt;0,0,IF(B11&lt;150000,C11/0.8,C11/0.6)))</f>
        <v/>
      </c>
      <c r="E11" s="29">
        <f>IF(D11="","",IF(B11&lt;150000,D11*0.1,D11*0.3))</f>
        <v/>
      </c>
    </row>
    <row r="12" ht="15" customHeight="1" s="22">
      <c r="A12" s="28" t="n"/>
      <c r="B12" s="29" t="n"/>
      <c r="C12" s="31">
        <f>IF(OR(B12="",B11=""),"",B12-B11)</f>
        <v/>
      </c>
      <c r="D12" s="29">
        <f>IF(OR(B12="",B11=""),"",IF(C12&lt;0,0,IF(B12&lt;150000,C12/0.8,C12/0.6)))</f>
        <v/>
      </c>
      <c r="E12" s="29">
        <f>IF(D12="","",IF(B12&lt;150000,D12*0.1,D12*0.3))</f>
        <v/>
      </c>
      <c r="F12" s="33" t="n"/>
      <c r="G12" s="34" t="inlineStr">
        <is>
          <t>Casino Take:</t>
        </is>
      </c>
      <c r="H12" s="35">
        <f>H10*0.1</f>
        <v/>
      </c>
    </row>
    <row r="13" ht="15" customHeight="1" s="22">
      <c r="A13" s="28" t="n"/>
      <c r="B13" s="29" t="n"/>
      <c r="C13" s="31">
        <f>IF(OR(B13="",B12=""),"",B13-B12)</f>
        <v/>
      </c>
      <c r="D13" s="29">
        <f>IF(OR(B13="",B12=""),"",IF(C13&lt;0,0,IF(B13&lt;150000,C13/0.8,C13/0.6)))</f>
        <v/>
      </c>
      <c r="E13" s="29">
        <f>IF(D13="","",IF(B13&lt;150000,D13*0.1,D13*0.3))</f>
        <v/>
      </c>
    </row>
    <row r="14" ht="15" customHeight="1" s="22">
      <c r="A14" s="28" t="n"/>
      <c r="B14" s="29" t="n"/>
      <c r="C14" s="31">
        <f>IF(OR(B14="",B13=""),"",B14-B13)</f>
        <v/>
      </c>
      <c r="D14" s="29">
        <f>IF(OR(B14="",B13=""),"",IF(C14&lt;0,0,IF(B14&lt;150000,C14/0.8,C14/0.6)))</f>
        <v/>
      </c>
      <c r="E14" s="29">
        <f>IF(D14="","",IF(B14&lt;150000,D14*0.1,D14*0.3))</f>
        <v/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>
        <f>INDEX(A:A,SUMPRODUCT(MAX((D5:D3500=0)*ROW(D5:D3500)))-1)</f>
        <v/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>
        <f>INDEX(B:B,MATCH(H16,A:A,0))</f>
        <v/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>
        <f>SUMPRODUCT(--(ROW(E5:E200)&gt;MAX(--(D5:D200=0)*ROW(D5:D200))),E5:E200)</f>
        <v/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2026-02-18T01:56:48Z</dcterms:modified>
  <cp:revision>3</cp:revision>
</cp:coreProperties>
</file>
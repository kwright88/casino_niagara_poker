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15007.7</v>
      </c>
      <c r="E1" s="23" t="inlineStr">
        <is>
          <t>As of:</t>
        </is>
      </c>
      <c r="F1" s="25" t="inlineStr">
        <is>
          <t>2026-02-20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inlineStr">
        <is>
          <t>2026-02-18</t>
        </is>
      </c>
      <c r="B8" s="29" t="n">
        <v>13541.3</v>
      </c>
      <c r="C8" s="31" t="n">
        <v>792</v>
      </c>
      <c r="D8" s="29" t="n">
        <v>990</v>
      </c>
      <c r="E8" s="29" t="n">
        <v>99</v>
      </c>
      <c r="G8" s="32" t="inlineStr">
        <is>
          <t>Since Feb 15, 2026</t>
        </is>
      </c>
    </row>
    <row r="9" ht="15" customHeight="1" s="22">
      <c r="A9" s="28" t="inlineStr">
        <is>
          <t>2026-02-19</t>
        </is>
      </c>
      <c r="B9" s="29" t="n">
        <v>14297.3</v>
      </c>
      <c r="C9" s="31" t="n">
        <v>756</v>
      </c>
      <c r="D9" s="29" t="n">
        <v>945</v>
      </c>
      <c r="E9" s="29" t="n">
        <v>94.5</v>
      </c>
    </row>
    <row r="10" ht="15" customHeight="1" s="22">
      <c r="A10" s="28" t="inlineStr">
        <is>
          <t>2026-02-20</t>
        </is>
      </c>
      <c r="B10" s="29" t="n">
        <v>15007.7</v>
      </c>
      <c r="C10" s="31" t="n">
        <v>710.4000000000015</v>
      </c>
      <c r="D10" s="29" t="n">
        <v>888.0000000000018</v>
      </c>
      <c r="E10" s="29" t="n">
        <v>88.80000000000018</v>
      </c>
      <c r="F10" s="33" t="n"/>
      <c r="G10" s="34" t="inlineStr">
        <is>
          <t>Total Collected:</t>
        </is>
      </c>
      <c r="H10" s="35" t="n">
        <v>6452.000000000016</v>
      </c>
    </row>
    <row r="11" ht="15" customHeight="1" s="22">
      <c r="A11" s="28" t="n"/>
      <c r="B11" s="29" t="n"/>
      <c r="C11" s="31">
        <f>IF(OR(B11="",B10=""),"",B11-B10)</f>
        <v/>
      </c>
      <c r="D11" s="29">
        <f>IF(OR(B11="",B10=""),"",IF(C11&lt;0,0,IF(B11&lt;150000,C11/0.8,C11/0.6)))</f>
        <v/>
      </c>
      <c r="E11" s="29">
        <f>IF(D11="","",IF(B11&lt;150000,D11*0.1,D11*0.3))</f>
        <v/>
      </c>
    </row>
    <row r="12" ht="15" customHeight="1" s="22">
      <c r="A12" s="28" t="n"/>
      <c r="B12" s="29" t="n"/>
      <c r="C12" s="31">
        <f>IF(OR(B12="",B11=""),"",B12-B11)</f>
        <v/>
      </c>
      <c r="D12" s="29">
        <f>IF(OR(B12="",B11=""),"",IF(C12&lt;0,0,IF(B12&lt;150000,C12/0.8,C12/0.6)))</f>
        <v/>
      </c>
      <c r="E12" s="29">
        <f>IF(D12="","",IF(B12&lt;150000,D12*0.1,D12*0.3))</f>
        <v/>
      </c>
      <c r="F12" s="33" t="n"/>
      <c r="G12" s="34" t="inlineStr">
        <is>
          <t>Casino Take:</t>
        </is>
      </c>
      <c r="H12" s="35" t="n">
        <v>645.2000000000016</v>
      </c>
    </row>
    <row r="13" ht="15" customHeight="1" s="22">
      <c r="A13" s="28" t="n"/>
      <c r="B13" s="29" t="n"/>
      <c r="C13" s="31">
        <f>IF(OR(B13="",B12=""),"",B13-B12)</f>
        <v/>
      </c>
      <c r="D13" s="29">
        <f>IF(OR(B13="",B12=""),"",IF(C13&lt;0,0,IF(B13&lt;150000,C13/0.8,C13/0.6)))</f>
        <v/>
      </c>
      <c r="E13" s="29">
        <f>IF(D13="","",IF(B13&lt;150000,D13*0.1,D13*0.3))</f>
        <v/>
      </c>
    </row>
    <row r="14" ht="15" customHeight="1" s="22">
      <c r="A14" s="28" t="n"/>
      <c r="B14" s="29" t="n"/>
      <c r="C14" s="31">
        <f>IF(OR(B14="",B13=""),"",B14-B13)</f>
        <v/>
      </c>
      <c r="D14" s="29">
        <f>IF(OR(B14="",B13=""),"",IF(C14&lt;0,0,IF(B14&lt;150000,C14/0.8,C14/0.6)))</f>
        <v/>
      </c>
      <c r="E14" s="29">
        <f>IF(D14="","",IF(B14&lt;150000,D14*0.1,D14*0.3))</f>
        <v/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282.3000000000002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2026-02-20T16:45:03Z</dcterms:modified>
  <cp:revision>3</cp:revision>
</cp:coreProperties>
</file>